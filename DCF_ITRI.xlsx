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left"/>
    </xf>
    <xf numFmtId="164" fontId="0" fillId="0" borderId="0" pivotButton="0" quotePrefix="0" xfId="0"/>
    <xf numFmtId="164" fontId="4" fillId="3" borderId="1" applyAlignment="1" pivotButton="0" quotePrefix="0" xfId="0">
      <alignment horizontal="right"/>
    </xf>
    <xf numFmtId="10" fontId="2" fillId="2" borderId="1" applyAlignment="1" pivotButton="0" quotePrefix="0" xfId="0">
      <alignment horizontal="left"/>
    </xf>
    <xf numFmtId="10" fontId="0" fillId="0" borderId="0" pivotButton="0" quotePrefix="0" xfId="0"/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10" fontId="2" fillId="3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DCF VÆRDIANSÆTTELSE - Itron, Inc.</t>
        </is>
      </c>
    </row>
    <row r="2">
      <c r="A2" s="2" t="inlineStr">
        <is>
          <t>Juster gule celler for at opdatere</t>
        </is>
      </c>
    </row>
    <row r="4">
      <c r="A4" s="3" t="inlineStr">
        <is>
          <t>Virksomhedsdata</t>
        </is>
      </c>
    </row>
    <row r="5">
      <c r="A5" s="2" t="inlineStr">
        <is>
          <t>Ticker</t>
        </is>
      </c>
      <c r="B5" s="4" t="inlineStr">
        <is>
          <t>ITRI</t>
        </is>
      </c>
    </row>
    <row r="6">
      <c r="A6" s="2" t="inlineStr">
        <is>
          <t>Aktiekurs (USD)</t>
        </is>
      </c>
      <c r="B6" s="5" t="n">
        <v>79.02500000000001</v>
      </c>
      <c r="C6" s="6" t="n"/>
      <c r="D6" s="6" t="n"/>
      <c r="E6" s="6" t="n"/>
      <c r="F6" s="6" t="n"/>
      <c r="G6" s="6" t="n"/>
    </row>
    <row r="7">
      <c r="A7" s="2" t="inlineStr">
        <is>
          <t>Antal aktier (M)</t>
        </is>
      </c>
      <c r="B7" s="5" t="n">
        <v>44.339347</v>
      </c>
      <c r="C7" s="6" t="n"/>
      <c r="D7" s="6" t="n"/>
      <c r="E7" s="6" t="n"/>
      <c r="F7" s="6" t="n"/>
      <c r="G7" s="6" t="n"/>
    </row>
    <row r="8">
      <c r="A8" s="2" t="inlineStr">
        <is>
          <t>Market Cap (USD M)</t>
        </is>
      </c>
      <c r="B8" s="7" t="n">
        <v>3503.917056</v>
      </c>
      <c r="C8" s="6" t="n"/>
      <c r="D8" s="6" t="n"/>
      <c r="E8" s="6" t="n"/>
      <c r="F8" s="6" t="n"/>
      <c r="G8" s="6" t="n"/>
    </row>
    <row r="9">
      <c r="A9" s="2" t="inlineStr">
        <is>
          <t>Total Gæld (USD M)</t>
        </is>
      </c>
      <c r="B9" s="5" t="n">
        <v>1267.95</v>
      </c>
      <c r="C9" s="6" t="n"/>
      <c r="D9" s="6" t="n"/>
      <c r="E9" s="6" t="n"/>
      <c r="F9" s="6" t="n"/>
      <c r="G9" s="6" t="n"/>
    </row>
    <row r="10">
      <c r="A10" s="2" t="inlineStr">
        <is>
          <t>Kontanter (USD M)</t>
        </is>
      </c>
      <c r="B10" s="5" t="n">
        <v>1020.397</v>
      </c>
      <c r="C10" s="6" t="n"/>
      <c r="D10" s="6" t="n"/>
      <c r="E10" s="6" t="n"/>
      <c r="F10" s="6" t="n"/>
      <c r="G10" s="6" t="n"/>
    </row>
    <row r="11">
      <c r="A11" s="2" t="inlineStr">
        <is>
          <t>Beta</t>
        </is>
      </c>
      <c r="B11" s="4" t="n">
        <v>1.353</v>
      </c>
    </row>
    <row r="12">
      <c r="A12" s="2" t="inlineStr">
        <is>
          <t>Skatteprocent</t>
        </is>
      </c>
      <c r="B12" s="8" t="n">
        <v>0.25</v>
      </c>
      <c r="C12" s="9" t="n"/>
      <c r="D12" s="9" t="n"/>
      <c r="E12" s="9" t="n"/>
      <c r="F12" s="9" t="n"/>
      <c r="G12" s="9" t="n"/>
    </row>
    <row r="14">
      <c r="A14" s="3" t="inlineStr">
        <is>
          <t>WACC PARAMETRE</t>
        </is>
      </c>
    </row>
    <row r="15">
      <c r="A15" s="2" t="inlineStr">
        <is>
          <t>Risikofri rente</t>
        </is>
      </c>
      <c r="B15" s="8" t="n">
        <v>0.04</v>
      </c>
      <c r="C15" s="9" t="n"/>
      <c r="D15" s="9" t="n"/>
      <c r="E15" s="9" t="n"/>
      <c r="F15" s="9" t="n"/>
      <c r="G15" s="9" t="n"/>
    </row>
    <row r="16">
      <c r="A16" s="2" t="inlineStr">
        <is>
          <t>Markedsrisikopræmie</t>
        </is>
      </c>
      <c r="B16" s="8" t="n">
        <v>0.055</v>
      </c>
      <c r="C16" s="9" t="n"/>
      <c r="D16" s="9" t="n"/>
      <c r="E16" s="9" t="n"/>
      <c r="F16" s="9" t="n"/>
      <c r="G16" s="9" t="n"/>
    </row>
    <row r="17">
      <c r="A17" s="2" t="inlineStr">
        <is>
          <t>Gældsomkostning (før skat)</t>
        </is>
      </c>
      <c r="B17" s="8" t="n">
        <v>0.05</v>
      </c>
      <c r="C17" s="9" t="n"/>
      <c r="D17" s="9" t="n"/>
      <c r="E17" s="9" t="n"/>
      <c r="F17" s="9" t="n"/>
      <c r="G17" s="9" t="n"/>
    </row>
    <row r="18">
      <c r="A18" s="2" t="inlineStr">
        <is>
          <t>Terminal vækstrate</t>
        </is>
      </c>
      <c r="B18" s="8" t="n">
        <v>0.02</v>
      </c>
      <c r="C18" s="9" t="n"/>
      <c r="D18" s="9" t="n"/>
      <c r="E18" s="9" t="n"/>
      <c r="F18" s="9" t="n"/>
      <c r="G18" s="9" t="n"/>
    </row>
    <row r="19">
      <c r="A19" s="10" t="inlineStr">
        <is>
          <t>WACC</t>
        </is>
      </c>
      <c r="B19" s="11">
        <f>((B8/(B8+B9))*(B15+B11*B16))+(B9/(B8+B9))*B17*(1-B12))</f>
        <v/>
      </c>
    </row>
    <row r="21">
      <c r="A21" s="3" t="inlineStr">
        <is>
          <t>REVENUE PROGNOSE</t>
        </is>
      </c>
    </row>
    <row r="22">
      <c r="A22" s="2" t="inlineStr">
        <is>
          <t>År</t>
        </is>
      </c>
      <c r="G22" s="2" t="inlineStr">
        <is>
          <t>Gennemsnit</t>
        </is>
      </c>
    </row>
    <row r="23">
      <c r="A23" s="2" t="inlineStr">
        <is>
          <t>Revenue vækst</t>
        </is>
      </c>
      <c r="B23" s="8" t="n">
        <v>0.05</v>
      </c>
      <c r="C23" s="8" t="n">
        <v>0.04500000000000001</v>
      </c>
      <c r="D23" s="8" t="n">
        <v>0.04</v>
      </c>
      <c r="E23" s="8" t="n">
        <v>0.035</v>
      </c>
      <c r="F23" s="8" t="n">
        <v>0.03</v>
      </c>
      <c r="G23" s="12">
        <f>AVERAGE(C23:G23)</f>
        <v/>
      </c>
    </row>
    <row r="24">
      <c r="A24" s="2" t="inlineStr">
        <is>
          <t>EBIT margin</t>
        </is>
      </c>
      <c r="B24" s="8" t="n">
        <v>0.1985812476674924</v>
      </c>
      <c r="C24" s="8" t="n">
        <v>0.1985812476674924</v>
      </c>
      <c r="D24" s="8" t="n">
        <v>0.1985812476674924</v>
      </c>
      <c r="E24" s="8" t="n">
        <v>0.1985812476674924</v>
      </c>
      <c r="F24" s="8" t="n">
        <v>0.1985812476674924</v>
      </c>
      <c r="G24" s="12">
        <f>AVERAGE(C24:G24)</f>
        <v/>
      </c>
    </row>
    <row r="25">
      <c r="A25" s="2" t="inlineStr">
        <is>
          <t>D&amp;A % af revenue</t>
        </is>
      </c>
      <c r="B25" s="8" t="n">
        <v>0.145510271849168</v>
      </c>
      <c r="C25" s="8" t="n">
        <v>0.145510271849168</v>
      </c>
      <c r="D25" s="8" t="n">
        <v>0.145510271849168</v>
      </c>
      <c r="E25" s="8" t="n">
        <v>0.145510271849168</v>
      </c>
      <c r="F25" s="8" t="n">
        <v>0.145510271849168</v>
      </c>
      <c r="G25" s="12">
        <f>AVERAGE(C25:G25)</f>
        <v/>
      </c>
    </row>
    <row r="26">
      <c r="A26" s="2" t="inlineStr">
        <is>
          <t>CapEx % af revenue</t>
        </is>
      </c>
      <c r="B26" s="8" t="n">
        <v>0.06726731492011437</v>
      </c>
      <c r="C26" s="8" t="n">
        <v>0.06726731492011437</v>
      </c>
      <c r="D26" s="8" t="n">
        <v>0.06726731492011437</v>
      </c>
      <c r="E26" s="8" t="n">
        <v>0.06726731492011437</v>
      </c>
      <c r="F26" s="8" t="n">
        <v>0.06726731492011437</v>
      </c>
      <c r="G26" s="12">
        <f>AVERAGE(C26:G26)</f>
        <v/>
      </c>
    </row>
    <row r="27">
      <c r="A27" s="2" t="inlineStr">
        <is>
          <t>NWC % af revenue</t>
        </is>
      </c>
      <c r="B27" s="8" t="n">
        <v>0.01</v>
      </c>
      <c r="C27" s="8" t="n">
        <v>0.01</v>
      </c>
      <c r="D27" s="8" t="n">
        <v>0.01</v>
      </c>
      <c r="E27" s="8" t="n">
        <v>0.01</v>
      </c>
      <c r="F27" s="8" t="n">
        <v>0.01</v>
      </c>
      <c r="G27" s="12">
        <f>AVERAGE(C27:G27)</f>
        <v/>
      </c>
    </row>
    <row r="28">
      <c r="A28" s="2" t="inlineStr">
        <is>
          <t>Skattesats</t>
        </is>
      </c>
      <c r="B28" s="8" t="n">
        <v>0.25</v>
      </c>
      <c r="C28" s="8" t="n">
        <v>0.25</v>
      </c>
      <c r="D28" s="8" t="n">
        <v>0.25</v>
      </c>
      <c r="E28" s="8" t="n">
        <v>0.25</v>
      </c>
      <c r="F28" s="8" t="n">
        <v>0.25</v>
      </c>
      <c r="G28" s="12">
        <f>AVERAGE(C28:G28)</f>
        <v/>
      </c>
    </row>
    <row r="29">
      <c r="A29" s="2" t="inlineStr">
        <is>
          <t>Base revenue (USD M)</t>
        </is>
      </c>
      <c r="B29" s="5" t="n">
        <v>340.299</v>
      </c>
      <c r="C29" s="6" t="n"/>
      <c r="D29" s="6" t="n"/>
      <c r="E29" s="6" t="n"/>
      <c r="F29" s="6" t="n"/>
      <c r="G29" s="6" t="n"/>
    </row>
    <row r="31">
      <c r="A31" s="3" t="inlineStr">
        <is>
          <t>BEREGNINGER</t>
        </is>
      </c>
    </row>
    <row r="32">
      <c r="A32" s="2" t="inlineStr">
        <is>
          <t>År</t>
        </is>
      </c>
      <c r="B32" s="2" t="n">
        <v>2025</v>
      </c>
      <c r="C32" s="2" t="n">
        <v>2026</v>
      </c>
      <c r="D32" s="2" t="n">
        <v>2027</v>
      </c>
      <c r="E32" s="2" t="n">
        <v>2028</v>
      </c>
      <c r="F32" s="2" t="n">
        <v>2029</v>
      </c>
    </row>
    <row r="33">
      <c r="A33" s="2" t="inlineStr">
        <is>
          <t>Revenue</t>
        </is>
      </c>
      <c r="B33" s="6" t="n"/>
      <c r="C33" s="6">
        <f>B29*(1+C23)</f>
        <v/>
      </c>
      <c r="D33" s="6">
        <f>C33*(1+D23)</f>
        <v/>
      </c>
      <c r="E33" s="6">
        <f>D33*(1+E23)</f>
        <v/>
      </c>
      <c r="F33" s="6">
        <f>E33*(1+F23)</f>
        <v/>
      </c>
      <c r="G33" s="6">
        <f>F33*(1+G23)</f>
        <v/>
      </c>
    </row>
    <row r="34">
      <c r="A34" s="2" t="inlineStr">
        <is>
          <t>EBIT</t>
        </is>
      </c>
      <c r="B34" s="6" t="n"/>
      <c r="C34" s="6">
        <f>C33*C24</f>
        <v/>
      </c>
      <c r="D34" s="6">
        <f>D33*D24</f>
        <v/>
      </c>
      <c r="E34" s="6">
        <f>E33*E24</f>
        <v/>
      </c>
      <c r="F34" s="6">
        <f>F33*F24</f>
        <v/>
      </c>
      <c r="G34" s="6">
        <f>G33*G24</f>
        <v/>
      </c>
    </row>
    <row r="35">
      <c r="A35" s="2" t="inlineStr">
        <is>
          <t>Skat</t>
        </is>
      </c>
      <c r="B35" s="6" t="n"/>
      <c r="C35" s="6">
        <f>C34*C28</f>
        <v/>
      </c>
      <c r="D35" s="6">
        <f>D34*D28</f>
        <v/>
      </c>
      <c r="E35" s="6">
        <f>E34*E28</f>
        <v/>
      </c>
      <c r="F35" s="6">
        <f>F34*F28</f>
        <v/>
      </c>
      <c r="G35" s="6">
        <f>G34*G28</f>
        <v/>
      </c>
    </row>
    <row r="36">
      <c r="A36" s="2" t="inlineStr">
        <is>
          <t>NOPAT</t>
        </is>
      </c>
      <c r="B36" s="6" t="n"/>
      <c r="C36" s="6">
        <f>C34-C35</f>
        <v/>
      </c>
      <c r="D36" s="6">
        <f>D34-D35</f>
        <v/>
      </c>
      <c r="E36" s="6">
        <f>E34-E35</f>
        <v/>
      </c>
      <c r="F36" s="6">
        <f>F34-F35</f>
        <v/>
      </c>
      <c r="G36" s="6">
        <f>G34-G35</f>
        <v/>
      </c>
    </row>
    <row r="37">
      <c r="A37" s="2" t="inlineStr">
        <is>
          <t>D&amp;A</t>
        </is>
      </c>
      <c r="B37" s="6" t="n"/>
      <c r="C37" s="6">
        <f>C33*C25</f>
        <v/>
      </c>
      <c r="D37" s="6">
        <f>D33*D25</f>
        <v/>
      </c>
      <c r="E37" s="6">
        <f>E33*E25</f>
        <v/>
      </c>
      <c r="F37" s="6">
        <f>F33*F25</f>
        <v/>
      </c>
      <c r="G37" s="6">
        <f>G33*G25</f>
        <v/>
      </c>
    </row>
    <row r="38">
      <c r="A38" s="2" t="inlineStr">
        <is>
          <t>CapEx</t>
        </is>
      </c>
      <c r="B38" s="6" t="n"/>
      <c r="C38" s="6">
        <f>C33*C26</f>
        <v/>
      </c>
      <c r="D38" s="6">
        <f>D33*D26</f>
        <v/>
      </c>
      <c r="E38" s="6">
        <f>E33*E26</f>
        <v/>
      </c>
      <c r="F38" s="6">
        <f>F33*F26</f>
        <v/>
      </c>
      <c r="G38" s="6">
        <f>G33*G26</f>
        <v/>
      </c>
    </row>
    <row r="39">
      <c r="A39" s="2" t="inlineStr">
        <is>
          <t>NWC ændring</t>
        </is>
      </c>
      <c r="B39" s="6" t="n"/>
      <c r="C39" s="6">
        <f>C33*C27</f>
        <v/>
      </c>
      <c r="D39" s="6">
        <f>D33*D27</f>
        <v/>
      </c>
      <c r="E39" s="6">
        <f>E33*E27</f>
        <v/>
      </c>
      <c r="F39" s="6">
        <f>F33*F27</f>
        <v/>
      </c>
      <c r="G39" s="6">
        <f>G33*G27</f>
        <v/>
      </c>
    </row>
    <row r="40">
      <c r="A40" s="2" t="inlineStr">
        <is>
          <t>Free Cash Flow</t>
        </is>
      </c>
      <c r="B40" s="6" t="n"/>
      <c r="C40" s="6">
        <f>C36+C37-C38-C39</f>
        <v/>
      </c>
      <c r="D40" s="6">
        <f>D36+D37-D38-D39</f>
        <v/>
      </c>
      <c r="E40" s="6">
        <f>E36+E37-E38-E39</f>
        <v/>
      </c>
      <c r="F40" s="6">
        <f>F36+F37-F38-F39</f>
        <v/>
      </c>
      <c r="G40" s="6">
        <f>G36+G37-G38-G39</f>
        <v/>
      </c>
    </row>
    <row r="41">
      <c r="A41" s="2" t="inlineStr">
        <is>
          <t>Terminal Value</t>
        </is>
      </c>
      <c r="B41" s="7">
        <f>G40*(1+B18)/(B19-B18)</f>
        <v/>
      </c>
      <c r="C41" s="6" t="n"/>
      <c r="D41" s="6" t="n"/>
      <c r="E41" s="6" t="n"/>
      <c r="F41" s="6" t="n"/>
      <c r="G41" s="6" t="n"/>
    </row>
    <row r="42">
      <c r="A42" s="2" t="inlineStr">
        <is>
          <t>Discount factor</t>
        </is>
      </c>
      <c r="C42">
        <f>(1+B19)^1</f>
        <v/>
      </c>
      <c r="D42">
        <f>(1+B19)^2</f>
        <v/>
      </c>
      <c r="E42">
        <f>(1+B19)^3</f>
        <v/>
      </c>
      <c r="F42">
        <f>(1+B19)^4</f>
        <v/>
      </c>
      <c r="G42">
        <f>(1+B19)^5</f>
        <v/>
      </c>
    </row>
    <row r="43">
      <c r="A43" s="2" t="inlineStr">
        <is>
          <t>Discounted FCF</t>
        </is>
      </c>
      <c r="B43" s="6" t="n"/>
      <c r="C43" s="6">
        <f>C40/C42</f>
        <v/>
      </c>
      <c r="D43" s="6">
        <f>D40/D42</f>
        <v/>
      </c>
      <c r="E43" s="6">
        <f>E40/E42</f>
        <v/>
      </c>
      <c r="F43" s="6">
        <f>F40/F42</f>
        <v/>
      </c>
      <c r="G43" s="6">
        <f>G40/G42</f>
        <v/>
      </c>
    </row>
    <row r="44">
      <c r="A44" s="2" t="inlineStr">
        <is>
          <t>Discounted TV</t>
        </is>
      </c>
      <c r="B44" s="7">
        <f>B41/(1+B19)^5</f>
        <v/>
      </c>
      <c r="C44" s="6" t="n"/>
      <c r="D44" s="6" t="n"/>
      <c r="E44" s="6" t="n"/>
      <c r="F44" s="6" t="n"/>
      <c r="G44" s="6" t="n"/>
    </row>
    <row r="46">
      <c r="A46" s="3" t="inlineStr">
        <is>
          <t>VÆRDIANSÆTTELSE</t>
        </is>
      </c>
    </row>
    <row r="47">
      <c r="A47" s="2" t="inlineStr">
        <is>
          <t>PV af FCF</t>
        </is>
      </c>
      <c r="B47" s="7">
        <f>SUM(C43:G43)</f>
        <v/>
      </c>
      <c r="C47" s="6" t="n"/>
      <c r="D47" s="6" t="n"/>
      <c r="E47" s="6" t="n"/>
      <c r="F47" s="6" t="n"/>
      <c r="G47" s="6" t="n"/>
    </row>
    <row r="48">
      <c r="A48" s="2" t="inlineStr">
        <is>
          <t>PV af Terminal Value</t>
        </is>
      </c>
      <c r="B48" s="7">
        <f>B44</f>
        <v/>
      </c>
      <c r="C48" s="6" t="n"/>
      <c r="D48" s="6" t="n"/>
      <c r="E48" s="6" t="n"/>
      <c r="F48" s="6" t="n"/>
      <c r="G48" s="6" t="n"/>
    </row>
    <row r="49">
      <c r="A49" s="2" t="inlineStr">
        <is>
          <t>Enterprise Value</t>
        </is>
      </c>
      <c r="B49" s="13">
        <f>B47+B48</f>
        <v/>
      </c>
      <c r="C49" s="6" t="n"/>
      <c r="D49" s="6" t="n"/>
      <c r="E49" s="6" t="n"/>
      <c r="F49" s="6" t="n"/>
      <c r="G49" s="6" t="n"/>
    </row>
    <row r="50">
      <c r="A50" s="2" t="inlineStr">
        <is>
          <t>Net Gæld</t>
        </is>
      </c>
      <c r="B50" s="14">
        <f>B9-B10</f>
        <v/>
      </c>
      <c r="C50" s="6" t="n"/>
      <c r="D50" s="6" t="n"/>
      <c r="E50" s="6" t="n"/>
      <c r="F50" s="6" t="n"/>
      <c r="G50" s="6" t="n"/>
    </row>
    <row r="51">
      <c r="A51" s="2" t="inlineStr">
        <is>
          <t>Equity Value</t>
        </is>
      </c>
      <c r="B51" s="13">
        <f>B49-B50</f>
        <v/>
      </c>
      <c r="C51" s="6" t="n"/>
      <c r="D51" s="6" t="n"/>
      <c r="E51" s="6" t="n"/>
      <c r="F51" s="6" t="n"/>
      <c r="G51" s="6" t="n"/>
    </row>
    <row r="52">
      <c r="A52" s="2" t="inlineStr">
        <is>
          <t>Implied pris per aktie</t>
        </is>
      </c>
      <c r="B52" s="13">
        <f>B51/B7</f>
        <v/>
      </c>
      <c r="C52" s="6" t="n"/>
      <c r="D52" s="6" t="n"/>
      <c r="E52" s="6" t="n"/>
      <c r="F52" s="6" t="n"/>
      <c r="G52" s="6" t="n"/>
    </row>
    <row r="53">
      <c r="A53" s="2" t="inlineStr">
        <is>
          <t>Upside/Downside</t>
        </is>
      </c>
      <c r="B53" s="15">
        <f>B52/B6-1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2026-05-19T17:56:08Z</dcterms:created>
  <dcterms:modified xmlns:dcterms="http://purl.org/dc/terms/" xmlns:xsi="http://www.w3.org/2001/XMLSchema-instance" xsi:type="dcterms:W3CDTF">2026-05-19T17:56:11Z</dcterms:modified>
</cp:coreProperties>
</file>